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4" borderId="1" applyAlignment="1" pivotButton="0" quotePrefix="0" xfId="0">
      <alignment horizontal="center"/>
    </xf>
    <xf numFmtId="3" fontId="4" fillId="4" borderId="1" pivotButton="0" quotePrefix="0" xfId="0"/>
    <xf numFmtId="166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5" fillId="6" borderId="1" applyAlignment="1" pivotButton="0" quotePrefix="0" xfId="0">
      <alignment horizontal="center"/>
    </xf>
    <xf numFmtId="3" fontId="4" fillId="6" borderId="1" pivotButton="0" quotePrefix="0" xfId="0"/>
    <xf numFmtId="166" fontId="4" fillId="6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12" customWidth="1" min="7" max="7"/>
    <col width="10" customWidth="1" min="8" max="8"/>
    <col width="12" customWidth="1" min="9" max="9"/>
    <col width="12" customWidth="1" min="10" max="10"/>
    <col width="18" customWidth="1" min="11" max="11"/>
    <col width="20" customWidth="1" min="12" max="12"/>
  </cols>
  <sheetData>
    <row r="1" ht="22" customHeight="1">
      <c r="A1" s="1" t="inlineStr">
        <is>
          <t>JT ActBlue Monthly Finances — 10% Digital Target</t>
        </is>
      </c>
    </row>
    <row r="2" ht="16" customHeight="1">
      <c r="A2" s="2" t="inlineStr">
        <is>
          <t>Digital = Email (JT_EM_* ref codes) + SMS (JT_SMS_* ref codes). Yellow = manual input.</t>
        </is>
      </c>
    </row>
    <row r="3" ht="30" customHeight="1">
      <c r="A3" s="3" t="inlineStr">
        <is>
          <t>Month</t>
        </is>
      </c>
      <c r="B3" s="3" t="inlineStr">
        <is>
          <t>Total Raised ($)</t>
        </is>
      </c>
      <c r="C3" s="3" t="inlineStr">
        <is>
          <t>Email Digital ($)</t>
        </is>
      </c>
      <c r="D3" s="3" t="inlineStr">
        <is>
          <t>SMS Digital ($)</t>
        </is>
      </c>
      <c r="E3" s="3" t="inlineStr">
        <is>
          <t>Total Digital ($)</t>
        </is>
      </c>
      <c r="F3" s="3" t="inlineStr">
        <is>
          <t>Digital Target (10%)</t>
        </is>
      </c>
      <c r="G3" s="3" t="inlineStr">
        <is>
          <t>Digital %</t>
        </is>
      </c>
      <c r="H3" s="3" t="inlineStr">
        <is>
          <t>Status</t>
        </is>
      </c>
      <c r="I3" s="3" t="inlineStr">
        <is>
          <t>Donor Count</t>
        </is>
      </c>
      <c r="J3" s="3" t="inlineStr">
        <is>
          <t>Avg Gift ($)</t>
        </is>
      </c>
      <c r="K3" s="3" t="inlineStr">
        <is>
          <t>Variance to Target ($)</t>
        </is>
      </c>
      <c r="L3" s="3" t="inlineStr">
        <is>
          <t>Notes</t>
        </is>
      </c>
    </row>
    <row r="4">
      <c r="A4" s="4" t="inlineStr">
        <is>
          <t>2025-11</t>
        </is>
      </c>
      <c r="B4" s="5" t="n">
        <v>25302.1</v>
      </c>
      <c r="C4" s="6" t="n">
        <v>1886</v>
      </c>
      <c r="D4" s="6" t="n">
        <v>0</v>
      </c>
      <c r="E4" s="6">
        <f>C4+D4</f>
        <v/>
      </c>
      <c r="F4" s="6">
        <f>B4*0.1</f>
        <v/>
      </c>
      <c r="G4" s="7">
        <f>IF(B4&lt;&gt;0,E4/B4,0)</f>
        <v/>
      </c>
      <c r="H4" s="8">
        <f>IF(G4&gt;=0.1,"✓ Met","✗ Below")</f>
        <v/>
      </c>
      <c r="I4" s="9" t="n">
        <v>143</v>
      </c>
      <c r="J4" s="6">
        <f>IF(I4&lt;&gt;0,B4/I4,0)</f>
        <v/>
      </c>
      <c r="K4" s="10">
        <f>E4-F4</f>
        <v/>
      </c>
      <c r="L4" s="11" t="inlineStr"/>
    </row>
    <row r="5">
      <c r="A5" s="12" t="inlineStr">
        <is>
          <t>2025-12</t>
        </is>
      </c>
      <c r="B5" s="5" t="n">
        <v>51323.1</v>
      </c>
      <c r="C5" s="13" t="n">
        <v>60</v>
      </c>
      <c r="D5" s="13" t="n">
        <v>0</v>
      </c>
      <c r="E5" s="13">
        <f>C5+D5</f>
        <v/>
      </c>
      <c r="F5" s="13">
        <f>B5*0.1</f>
        <v/>
      </c>
      <c r="G5" s="14">
        <f>IF(B5&lt;&gt;0,E5/B5,0)</f>
        <v/>
      </c>
      <c r="H5" s="15">
        <f>IF(G5&gt;=0.1,"✓ Met","✗ Below")</f>
        <v/>
      </c>
      <c r="I5" s="16" t="n">
        <v>282</v>
      </c>
      <c r="J5" s="13">
        <f>IF(I5&lt;&gt;0,B5/I5,0)</f>
        <v/>
      </c>
      <c r="K5" s="17">
        <f>E5-F5</f>
        <v/>
      </c>
      <c r="L5" s="11" t="inlineStr"/>
    </row>
    <row r="6">
      <c r="A6" s="4" t="inlineStr">
        <is>
          <t>2026-01</t>
        </is>
      </c>
      <c r="B6" s="5" t="n">
        <v>31344.1</v>
      </c>
      <c r="C6" s="6" t="n">
        <v>3400</v>
      </c>
      <c r="D6" s="6" t="n">
        <v>0</v>
      </c>
      <c r="E6" s="6">
        <f>C6+D6</f>
        <v/>
      </c>
      <c r="F6" s="6">
        <f>B6*0.1</f>
        <v/>
      </c>
      <c r="G6" s="7">
        <f>IF(B6&lt;&gt;0,E6/B6,0)</f>
        <v/>
      </c>
      <c r="H6" s="8">
        <f>IF(G6&gt;=0.1,"✓ Met","✗ Below")</f>
        <v/>
      </c>
      <c r="I6" s="9" t="n">
        <v>236</v>
      </c>
      <c r="J6" s="6">
        <f>IF(I6&lt;&gt;0,B6/I6,0)</f>
        <v/>
      </c>
      <c r="K6" s="10">
        <f>E6-F6</f>
        <v/>
      </c>
      <c r="L6" s="11" t="inlineStr"/>
    </row>
    <row r="7">
      <c r="A7" s="12" t="inlineStr">
        <is>
          <t>2026-02</t>
        </is>
      </c>
      <c r="B7" s="5" t="n">
        <v>45411.36</v>
      </c>
      <c r="C7" s="13" t="n">
        <v>9281</v>
      </c>
      <c r="D7" s="13" t="n">
        <v>0</v>
      </c>
      <c r="E7" s="13">
        <f>C7+D7</f>
        <v/>
      </c>
      <c r="F7" s="13">
        <f>B7*0.1</f>
        <v/>
      </c>
      <c r="G7" s="14">
        <f>IF(B7&lt;&gt;0,E7/B7,0)</f>
        <v/>
      </c>
      <c r="H7" s="15">
        <f>IF(G7&gt;=0.1,"✓ Met","✗ Below")</f>
        <v/>
      </c>
      <c r="I7" s="16" t="n">
        <v>312</v>
      </c>
      <c r="J7" s="13">
        <f>IF(I7&lt;&gt;0,B7/I7,0)</f>
        <v/>
      </c>
      <c r="K7" s="17">
        <f>E7-F7</f>
        <v/>
      </c>
      <c r="L7" s="11" t="inlineStr"/>
    </row>
    <row r="8">
      <c r="A8" s="4" t="inlineStr">
        <is>
          <t>2026-03</t>
        </is>
      </c>
      <c r="B8" s="5" t="n">
        <v>36895.1</v>
      </c>
      <c r="C8" s="6" t="n">
        <v>1711</v>
      </c>
      <c r="D8" s="6" t="n">
        <v>0</v>
      </c>
      <c r="E8" s="6">
        <f>C8+D8</f>
        <v/>
      </c>
      <c r="F8" s="6">
        <f>B8*0.1</f>
        <v/>
      </c>
      <c r="G8" s="7">
        <f>IF(B8&lt;&gt;0,E8/B8,0)</f>
        <v/>
      </c>
      <c r="H8" s="8">
        <f>IF(G8&gt;=0.1,"✓ Met","✗ Below")</f>
        <v/>
      </c>
      <c r="I8" s="9" t="n">
        <v>274</v>
      </c>
      <c r="J8" s="6">
        <f>IF(I8&lt;&gt;0,B8/I8,0)</f>
        <v/>
      </c>
      <c r="K8" s="10">
        <f>E8-F8</f>
        <v/>
      </c>
      <c r="L8" s="11" t="inlineStr"/>
    </row>
    <row r="9">
      <c r="A9" s="12" t="inlineStr">
        <is>
          <t>2026-04</t>
        </is>
      </c>
      <c r="B9" s="5" t="n">
        <v>868.5</v>
      </c>
      <c r="C9" s="13" t="n">
        <v>35</v>
      </c>
      <c r="D9" s="13" t="n">
        <v>0</v>
      </c>
      <c r="E9" s="13">
        <f>C9+D9</f>
        <v/>
      </c>
      <c r="F9" s="13">
        <f>B9*0.1</f>
        <v/>
      </c>
      <c r="G9" s="14">
        <f>IF(B9&lt;&gt;0,E9/B9,0)</f>
        <v/>
      </c>
      <c r="H9" s="15">
        <f>IF(G9&gt;=0.1,"✓ Met","✗ Below")</f>
        <v/>
      </c>
      <c r="I9" s="16" t="n">
        <v>25</v>
      </c>
      <c r="J9" s="13">
        <f>IF(I9&lt;&gt;0,B9/I9,0)</f>
        <v/>
      </c>
      <c r="K9" s="17">
        <f>E9-F9</f>
        <v/>
      </c>
      <c r="L9" s="11" t="inlineStr"/>
    </row>
    <row r="10">
      <c r="A10" s="18" t="inlineStr">
        <is>
          <t>TOTAL</t>
        </is>
      </c>
      <c r="B10" s="19">
        <f>SUM(B4:B9)</f>
        <v/>
      </c>
      <c r="C10" s="19">
        <f>SUM(C4:C9)</f>
        <v/>
      </c>
      <c r="D10" s="19">
        <f>SUM(D4:D9)</f>
        <v/>
      </c>
      <c r="E10" s="19">
        <f>C10+D10</f>
        <v/>
      </c>
      <c r="F10" s="18" t="n"/>
      <c r="G10" s="20">
        <f>IF(B10&lt;&gt;0,E10/B10,0)</f>
        <v/>
      </c>
      <c r="H10" s="18" t="n"/>
      <c r="I10" s="21">
        <f>SUM(I4:I9)</f>
        <v/>
      </c>
      <c r="J10" s="18" t="n"/>
      <c r="K10" s="22">
        <f>E10-F10</f>
        <v/>
      </c>
      <c r="L10" s="18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2026-04-14T03:40:36Z</dcterms:created>
  <dcterms:modified xsi:type="dcterms:W3CDTF">2026-04-14T03:40:36Z</dcterms:modified>
</cp:coreProperties>
</file>